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E620F7E-F771-4DF3-BB24-D88FE078FD10}" xr6:coauthVersionLast="47" xr6:coauthVersionMax="47" xr10:uidLastSave="{00000000-0000-0000-0000-000000000000}"/>
  <bookViews>
    <workbookView xWindow="-98" yWindow="-98" windowWidth="19396" windowHeight="10276" activeTab="1" xr2:uid="{AC792CE8-E6B1-40CD-A721-739DA35309DF}"/>
  </bookViews>
  <sheets>
    <sheet name="Data" sheetId="1" r:id="rId1"/>
    <sheet name="Calculator" sheetId="4" r:id="rId2"/>
    <sheet name="Documentation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4" l="1"/>
  <c r="J34" i="4"/>
  <c r="J33" i="4"/>
  <c r="J32" i="4"/>
  <c r="E42" i="4"/>
  <c r="E41" i="4"/>
  <c r="E40" i="4"/>
  <c r="E39" i="4"/>
  <c r="D42" i="4"/>
  <c r="D41" i="4"/>
  <c r="D40" i="4"/>
  <c r="D39" i="4"/>
  <c r="C42" i="4"/>
  <c r="C41" i="4"/>
  <c r="C40" i="4"/>
  <c r="C39" i="4"/>
  <c r="B42" i="4"/>
  <c r="B41" i="4"/>
  <c r="B40" i="4"/>
  <c r="B39" i="4"/>
  <c r="G34" i="4"/>
  <c r="G33" i="4"/>
  <c r="G32" i="4"/>
  <c r="F34" i="4"/>
  <c r="F33" i="4"/>
  <c r="F32" i="4"/>
  <c r="D20" i="4"/>
  <c r="C20" i="4"/>
  <c r="B20" i="4"/>
  <c r="B21" i="4" s="1"/>
  <c r="D19" i="4"/>
  <c r="D21" i="4" s="1"/>
  <c r="C19" i="4"/>
  <c r="D18" i="4"/>
  <c r="D23" i="4" s="1"/>
  <c r="C18" i="4"/>
  <c r="C22" i="4" s="1"/>
  <c r="B18" i="4"/>
  <c r="B23" i="4" s="1"/>
  <c r="B7" i="4"/>
  <c r="B6" i="4"/>
  <c r="B5" i="4"/>
  <c r="B4" i="4"/>
  <c r="C23" i="4" l="1"/>
  <c r="D22" i="4"/>
  <c r="D24" i="4" s="1"/>
  <c r="D25" i="4" s="1"/>
  <c r="B22" i="4"/>
  <c r="B24" i="4" s="1"/>
  <c r="B25" i="4" s="1"/>
  <c r="C21" i="4"/>
  <c r="E21" i="4" s="1"/>
  <c r="C24" i="4" l="1"/>
  <c r="C25" i="4" s="1"/>
  <c r="E25" i="4" s="1"/>
  <c r="B27" i="4" s="1"/>
</calcChain>
</file>

<file path=xl/sharedStrings.xml><?xml version="1.0" encoding="utf-8"?>
<sst xmlns="http://schemas.openxmlformats.org/spreadsheetml/2006/main" count="129" uniqueCount="105">
  <si>
    <t>Compund</t>
  </si>
  <si>
    <t>Pace Offset</t>
  </si>
  <si>
    <t>Deg Rate(s/lap</t>
  </si>
  <si>
    <t>Min Stint</t>
  </si>
  <si>
    <t>Max Stint</t>
  </si>
  <si>
    <t>SOFT</t>
  </si>
  <si>
    <t>MEDIUM</t>
  </si>
  <si>
    <t>HARD</t>
  </si>
  <si>
    <t>Parameter</t>
  </si>
  <si>
    <t>Value</t>
  </si>
  <si>
    <t>Track</t>
  </si>
  <si>
    <t>Hungary</t>
  </si>
  <si>
    <t>Total laps</t>
  </si>
  <si>
    <t>Base Lap Time(s)</t>
  </si>
  <si>
    <t>Pit Stop Loss</t>
  </si>
  <si>
    <t>F1 PIT STRATEGY CALCULATOR</t>
  </si>
  <si>
    <t>RACE INPUTS</t>
  </si>
  <si>
    <t>Total Laps</t>
  </si>
  <si>
    <t>Base Lap Time (s)</t>
  </si>
  <si>
    <t>Pit Stop Loss(s)</t>
  </si>
  <si>
    <t>STRATEGY INPUTS</t>
  </si>
  <si>
    <t>Stint 1 Compound</t>
  </si>
  <si>
    <t>Stint 2 Compound</t>
  </si>
  <si>
    <t>Stint 3 Compound</t>
  </si>
  <si>
    <t>Pit 1 After Lap</t>
  </si>
  <si>
    <t>Pit 2 After Lap</t>
  </si>
  <si>
    <t>STINT ANALYSIS</t>
  </si>
  <si>
    <t>Stint 1</t>
  </si>
  <si>
    <t>Stint 2</t>
  </si>
  <si>
    <t>Stint 3</t>
  </si>
  <si>
    <t>Total</t>
  </si>
  <si>
    <t>Compound</t>
  </si>
  <si>
    <t>Start Lap</t>
  </si>
  <si>
    <t>End Lap</t>
  </si>
  <si>
    <t>Stint Length</t>
  </si>
  <si>
    <t>Pace Offset(s)</t>
  </si>
  <si>
    <t>Deg Rate(s/lap)</t>
  </si>
  <si>
    <t>Avg Lap Time(s)</t>
  </si>
  <si>
    <t>Stint Time(s)</t>
  </si>
  <si>
    <t>TOTAL RACE TIME</t>
  </si>
  <si>
    <t>STRATEGY COMPARISON</t>
  </si>
  <si>
    <t>Strategy</t>
  </si>
  <si>
    <t xml:space="preserve">Stint 1 </t>
  </si>
  <si>
    <t>Pit Laps</t>
  </si>
  <si>
    <t>Total Time(s)</t>
  </si>
  <si>
    <t>Gap to Best</t>
  </si>
  <si>
    <t>Piastri Actual</t>
  </si>
  <si>
    <t>18,42</t>
  </si>
  <si>
    <t>Optimal 2-Stop</t>
  </si>
  <si>
    <t>25,47</t>
  </si>
  <si>
    <t>1-Stop(M-H)</t>
  </si>
  <si>
    <t>-</t>
  </si>
  <si>
    <t>SENSITIVITY: Pit Stop Time</t>
  </si>
  <si>
    <t>Pit Time(s)</t>
  </si>
  <si>
    <t>Piastri</t>
  </si>
  <si>
    <t>1-Stop</t>
  </si>
  <si>
    <t>Best Strategy</t>
  </si>
  <si>
    <t>Total Time</t>
  </si>
  <si>
    <t>QUICK SUMMARY</t>
  </si>
  <si>
    <t>Time Saved vs Piastri:</t>
  </si>
  <si>
    <t>Optimal Pit Lap:</t>
  </si>
  <si>
    <t>Pit Time</t>
  </si>
  <si>
    <t>F1 PIT STRATEGY CALCULATOR - DOCUMENTATION</t>
  </si>
  <si>
    <t>OVERVIEW</t>
  </si>
  <si>
    <t>Purpose:</t>
  </si>
  <si>
    <t>Calculate and compare F1 pit stop strategies for the 2023 Hungarian Grand Prix</t>
  </si>
  <si>
    <t>Author:</t>
  </si>
  <si>
    <t>Emmanuel Gyan</t>
  </si>
  <si>
    <t>Date:</t>
  </si>
  <si>
    <t>Version:</t>
  </si>
  <si>
    <t>HOW TO USE</t>
  </si>
  <si>
    <t>Select tyre compounds for each stint using the dropdown menus(cells B10-B12)</t>
  </si>
  <si>
    <t>Enter pit stop laps (cells B13-B14)</t>
  </si>
  <si>
    <t>Click the "Calculate" button to validate inputs and see total race time</t>
  </si>
  <si>
    <t>Use the Sensitivity Analysis to see how pit stop duration affects results</t>
  </si>
  <si>
    <t>Click "Reset" to restore default values (Piastri's actual strategy)</t>
  </si>
  <si>
    <t>ASSUMPTIONS &amp; LIMITATIONS</t>
  </si>
  <si>
    <t>Tyre degradation is linear (reality: non-linear near end of tyre life)</t>
  </si>
  <si>
    <t>Base lap time:82.5 seconds (average clean-air pace)</t>
  </si>
  <si>
    <t>Pit stop loss: 22 seconds (pit lane transit + stationary time)</t>
  </si>
  <si>
    <t>No Safety Car or VSC events modelled</t>
  </si>
  <si>
    <t>No fuel effect modelled (car getting lighter each lap)</t>
  </si>
  <si>
    <t>No track position or dirty air effects</t>
  </si>
  <si>
    <t>Compound data based on Hungary 2034 estimates</t>
  </si>
  <si>
    <t>DATA SOURCES</t>
  </si>
  <si>
    <t>Tyre degradation rates:</t>
  </si>
  <si>
    <t>Extracted from FastF1 telemetry using linear regression (see Python analysis)</t>
  </si>
  <si>
    <t>Base lap time:</t>
  </si>
  <si>
    <t>Median of Piastri's clean air laps at Hungary 2023</t>
  </si>
  <si>
    <t>Pit stop loss:</t>
  </si>
  <si>
    <t>Average Mclaren pit stop time from 2023  season</t>
  </si>
  <si>
    <t>Compound specifications:</t>
  </si>
  <si>
    <t>Estimated from race data and Pirelli guidance</t>
  </si>
  <si>
    <t>TECHNIQUES DEMONSTRATED</t>
  </si>
  <si>
    <t>Grid search optimization finding optimal pit windows</t>
  </si>
  <si>
    <t>Sensitivity analysis - testing robustness to parameter changes</t>
  </si>
  <si>
    <t>Data validation -VBA input checking</t>
  </si>
  <si>
    <t>Excel automation - VBA macros for user interaction</t>
  </si>
  <si>
    <t>Dashboard design - clear layout with visual outputs</t>
  </si>
  <si>
    <t>RELATED PROJECT</t>
  </si>
  <si>
    <t>Full Python analysis:</t>
  </si>
  <si>
    <t>https://github.com/egyan175/f1-hungary-2023-strategy</t>
  </si>
  <si>
    <t>Includes:</t>
  </si>
  <si>
    <t>Monte Carlo simulation, regression analysis, real data validation</t>
  </si>
  <si>
    <t>Compare your strategy against alternatives in the Strategy Comparison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</si>
</sst>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8"/>
      <color rgb="FF008000"/>
      <name val="Calibri"/>
      <family val="2"/>
    </font>
    <font>
      <b/>
      <sz val="18"/>
      <color rgb="FFFF0000"/>
      <name val="Calibri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3" borderId="1" xfId="0" applyFont="1" applyFill="1" applyBorder="1"/>
    <xf numFmtId="0" fontId="3" fillId="0" borderId="1" xfId="0" applyFont="1" applyBorder="1"/>
    <xf numFmtId="0" fontId="5" fillId="3" borderId="0" xfId="0" applyFont="1" applyFill="1"/>
    <xf numFmtId="0" fontId="3" fillId="0" borderId="0" xfId="0" applyFont="1" applyAlignment="1">
      <alignment wrapText="1"/>
    </xf>
    <xf numFmtId="0" fontId="6" fillId="0" borderId="1" xfId="0" applyFont="1" applyBorder="1"/>
    <xf numFmtId="0" fontId="5" fillId="0" borderId="0" xfId="0" applyFont="1"/>
    <xf numFmtId="0" fontId="5" fillId="3" borderId="2" xfId="0" applyFont="1" applyFill="1" applyBorder="1"/>
    <xf numFmtId="0" fontId="3" fillId="0" borderId="0" xfId="0" applyFont="1" applyProtection="1">
      <protection locked="0"/>
    </xf>
    <xf numFmtId="0" fontId="9" fillId="0" borderId="0" xfId="0" applyFont="1"/>
    <xf numFmtId="17" fontId="0" fillId="0" borderId="0" xfId="0" applyNumberFormat="1"/>
    <xf numFmtId="0" fontId="10" fillId="0" borderId="0" xfId="0" applyFont="1"/>
    <xf numFmtId="0" fontId="11" fillId="0" borderId="0" xfId="1"/>
  </cellXfs>
  <cellStyles count="2">
    <cellStyle name="Hyperlink" xfId="1" builtinId="8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Strategy Comparison - Total Race Time (s)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16507633420822398"/>
          <c:y val="3.4001207826932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Calculator!$J$31</c:f>
              <c:strCache>
                <c:ptCount val="1"/>
                <c:pt idx="0">
                  <c:v>Total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AA0-406C-ACCB-B9C9BB9BB0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Calculator!$I$32:$I$34</c:f>
              <c:strCache>
                <c:ptCount val="3"/>
                <c:pt idx="0">
                  <c:v>Piastri Actual</c:v>
                </c:pt>
                <c:pt idx="1">
                  <c:v>Optimal 2-Stop</c:v>
                </c:pt>
                <c:pt idx="2">
                  <c:v>1-Stop(M-H)</c:v>
                </c:pt>
              </c:strCache>
            </c:strRef>
          </c:cat>
          <c:val>
            <c:numRef>
              <c:f>Calculator!$J$32:$J$34</c:f>
              <c:numCache>
                <c:formatCode>General</c:formatCode>
                <c:ptCount val="3"/>
                <c:pt idx="0">
                  <c:v>5857.9600000000009</c:v>
                </c:pt>
                <c:pt idx="1">
                  <c:v>5856.93</c:v>
                </c:pt>
                <c:pt idx="2">
                  <c:v>5850.7200000000012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0-406C-ACCB-B9C9BB9BB0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3581648"/>
        <c:axId val="193582128"/>
      </c:barChart>
      <c:catAx>
        <c:axId val="1935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82128"/>
        <c:crosses val="autoZero"/>
        <c:auto val="1"/>
        <c:lblAlgn val="ctr"/>
        <c:lblOffset val="100"/>
        <c:noMultiLvlLbl val="0"/>
      </c:catAx>
      <c:valAx>
        <c:axId val="193582128"/>
        <c:scaling>
          <c:orientation val="minMax"/>
          <c:max val="58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</a:t>
            </a:r>
            <a:r>
              <a:rPr lang="en-US" baseline="0"/>
              <a:t> Stop Time Sensitivity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Calculator!$I$45</c:f>
              <c:strCache>
                <c:ptCount val="1"/>
                <c:pt idx="0">
                  <c:v>Piastri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Calculator!$H$46:$H$49</c:f>
              <c:numCache>
                <c:formatCode>General</c:formatCode>
                <c:ptCount val="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</c:numCache>
            </c:numRef>
          </c:cat>
          <c:val>
            <c:numRef>
              <c:f>Calculator!$I$46:$I$49</c:f>
              <c:numCache>
                <c:formatCode>General</c:formatCode>
                <c:ptCount val="4"/>
                <c:pt idx="0">
                  <c:v>5853.96</c:v>
                </c:pt>
                <c:pt idx="1">
                  <c:v>5857.96</c:v>
                </c:pt>
                <c:pt idx="2">
                  <c:v>5861.96</c:v>
                </c:pt>
                <c:pt idx="3">
                  <c:v>5865.96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1-4A10-B935-E4BFAAEC2910}"/>
            </c:ext>
          </c:extLst>
        </c:ser>
        <c:ser>
          <c:idx val="2"/>
          <c:order val="1"/>
          <c:tx>
            <c:strRef>
              <c:f>Calculator!$J$45</c:f>
              <c:strCache>
                <c:ptCount val="1"/>
                <c:pt idx="0">
                  <c:v>Optimal 2-Stop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Calculator!$H$46:$H$49</c:f>
              <c:numCache>
                <c:formatCode>General</c:formatCode>
                <c:ptCount val="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</c:numCache>
            </c:numRef>
          </c:cat>
          <c:val>
            <c:numRef>
              <c:f>Calculator!$J$46:$J$49</c:f>
              <c:numCache>
                <c:formatCode>General</c:formatCode>
                <c:ptCount val="4"/>
                <c:pt idx="0">
                  <c:v>5852.93</c:v>
                </c:pt>
                <c:pt idx="1">
                  <c:v>5856.93</c:v>
                </c:pt>
                <c:pt idx="2">
                  <c:v>5860.93</c:v>
                </c:pt>
                <c:pt idx="3">
                  <c:v>5864.93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1-4A10-B935-E4BFAAEC2910}"/>
            </c:ext>
          </c:extLst>
        </c:ser>
        <c:ser>
          <c:idx val="3"/>
          <c:order val="2"/>
          <c:tx>
            <c:strRef>
              <c:f>Calculator!$K$45</c:f>
              <c:strCache>
                <c:ptCount val="1"/>
                <c:pt idx="0">
                  <c:v>1-Stop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Calculator!$H$46:$H$49</c:f>
              <c:numCache>
                <c:formatCode>General</c:formatCode>
                <c:ptCount val="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</c:numCache>
            </c:numRef>
          </c:cat>
          <c:val>
            <c:numRef>
              <c:f>Calculator!$K$46:$K$49</c:f>
              <c:numCache>
                <c:formatCode>General</c:formatCode>
                <c:ptCount val="4"/>
                <c:pt idx="0">
                  <c:v>5848.72</c:v>
                </c:pt>
                <c:pt idx="1">
                  <c:v>5850.72</c:v>
                </c:pt>
                <c:pt idx="2">
                  <c:v>5852.72</c:v>
                </c:pt>
                <c:pt idx="3">
                  <c:v>5854.72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51-4A10-B935-E4BFAAEC2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3530191"/>
        <c:axId val="1203531631"/>
      </c:lineChart>
      <c:catAx>
        <c:axId val="120353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531631"/>
        <c:crosses val="autoZero"/>
        <c:auto val="1"/>
        <c:lblAlgn val="ctr"/>
        <c:lblOffset val="100"/>
        <c:noMultiLvlLbl val="0"/>
      </c:catAx>
      <c:valAx>
        <c:axId val="1203531631"/>
        <c:scaling>
          <c:orientation val="minMax"/>
          <c:min val="58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53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240507</xdr:colOff>
      <xdr:row>7</xdr:row>
      <xdr:rowOff>104775</xdr:rowOff>
    </xdr:from>
    <xdr:to>
      <xdr:col>9</xdr:col>
      <xdr:colOff>635795</xdr:colOff>
      <xdr:row>22</xdr:row>
      <xdr:rowOff>104776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ECC7F71-9A32-F494-0CFB-5E68C32B2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3239306</xdr:colOff>
      <xdr:row>42</xdr:row>
      <xdr:rowOff>109618</xdr:rowOff>
    </xdr:from>
    <xdr:to>
      <xdr:col>6</xdr:col>
      <xdr:colOff>150945</xdr:colOff>
      <xdr:row>58</xdr:row>
      <xdr:rowOff>140614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A50B41-4D7A-32B5-9FC9-383CF09229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700088</xdr:colOff>
          <xdr:row>1</xdr:row>
          <xdr:rowOff>4763</xdr:rowOff>
        </xdr:from>
        <xdr:to>
          <xdr:col>4</xdr:col>
          <xdr:colOff>76200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771525</xdr:colOff>
          <xdr:row>4</xdr:row>
          <xdr:rowOff>23813</xdr:rowOff>
        </xdr:from>
        <xdr:to>
          <xdr:col>4</xdr:col>
          <xdr:colOff>100013</xdr:colOff>
          <xdr:row>5</xdr:row>
          <xdr:rowOff>166688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egyan175/f1-hungary-2023-strateg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9A994-4EBC-4978-93EA-CB5263BEDBEC}">
  <sheetPr codeName="Sheet1"/>
  <dimension ref="A1:E11"/>
  <sheetViews>
    <sheetView workbookViewId="0">
      <selection activeCell="C8" sqref="C8"/>
    </sheetView>
  </sheetViews>
  <sheetFormatPr defaultRowHeight="14.25" x14ac:dyDescent="0.45"/>
  <cols>
    <col min="1" max="1" width="13.9296875" bestFit="1" customWidth="1"/>
    <col min="2" max="2" width="9.9296875" bestFit="1" customWidth="1"/>
    <col min="3" max="3" width="12.6640625" bestFit="1" customWidth="1"/>
    <col min="4" max="4" width="8.19921875" bestFit="1" customWidth="1"/>
    <col min="5" max="5" width="8.46484375" bestFit="1" customWidth="1"/>
  </cols>
  <sheetData>
    <row r="1" spans="1: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t="s">
        <v>5</v>
      </c>
      <c r="B2">
        <v>-0.8</v>
      </c>
      <c r="C2">
        <v>7.0000000000000007E-2</v>
      </c>
      <c r="D2">
        <v>10</v>
      </c>
      <c r="E2">
        <v>22</v>
      </c>
    </row>
    <row r="3" spans="1:5" x14ac:dyDescent="0.45">
      <c r="A3" t="s">
        <v>6</v>
      </c>
      <c r="B3">
        <v>0</v>
      </c>
      <c r="C3">
        <v>0.04</v>
      </c>
      <c r="D3">
        <v>15</v>
      </c>
      <c r="E3">
        <v>32</v>
      </c>
    </row>
    <row r="4" spans="1:5" x14ac:dyDescent="0.45">
      <c r="A4" t="s">
        <v>7</v>
      </c>
      <c r="B4">
        <v>0.4</v>
      </c>
      <c r="C4">
        <v>2.5000000000000001E-2</v>
      </c>
      <c r="D4">
        <v>20</v>
      </c>
      <c r="E4">
        <v>45</v>
      </c>
    </row>
    <row r="7" spans="1:5" x14ac:dyDescent="0.45">
      <c r="A7" s="1" t="s">
        <v>8</v>
      </c>
      <c r="B7" s="1" t="s">
        <v>9</v>
      </c>
    </row>
    <row r="8" spans="1:5" x14ac:dyDescent="0.45">
      <c r="A8" t="s">
        <v>10</v>
      </c>
      <c r="B8" t="s">
        <v>11</v>
      </c>
    </row>
    <row r="9" spans="1:5" x14ac:dyDescent="0.45">
      <c r="A9" t="s">
        <v>12</v>
      </c>
      <c r="B9">
        <v>70</v>
      </c>
    </row>
    <row r="10" spans="1:5" x14ac:dyDescent="0.45">
      <c r="A10" t="s">
        <v>13</v>
      </c>
      <c r="B10">
        <v>82.5</v>
      </c>
    </row>
    <row r="11" spans="1:5" x14ac:dyDescent="0.45">
      <c r="A11" t="s">
        <v>14</v>
      </c>
      <c r="B11">
        <v>22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7722-043F-4C3E-AE64-EDB7A1325994}">
  <sheetPr codeName="Sheet2"/>
  <dimension ref="A1:L49"/>
  <sheetViews>
    <sheetView tabSelected="1" zoomScale="43" zoomScaleNormal="43" workbookViewId="0">
      <selection activeCell="Y40" sqref="Y40"/>
    </sheetView>
  </sheetViews>
  <sheetFormatPr defaultRowHeight="13.5" x14ac:dyDescent="0.35"/>
  <cols>
    <col min="1" max="1" width="47.3984375" style="3" bestFit="1" customWidth="1"/>
    <col min="2" max="2" width="10.86328125" style="3" bestFit="1" customWidth="1"/>
    <col min="3" max="3" width="14.6640625" style="3" bestFit="1" customWidth="1"/>
    <col min="4" max="4" width="8.796875" style="3" bestFit="1" customWidth="1"/>
    <col min="5" max="5" width="13.46484375" style="3" bestFit="1" customWidth="1"/>
    <col min="6" max="6" width="12.9296875" style="3" bestFit="1" customWidth="1"/>
    <col min="7" max="7" width="11.73046875" style="3" bestFit="1" customWidth="1"/>
    <col min="8" max="8" width="20.53125" style="3" bestFit="1" customWidth="1"/>
    <col min="9" max="10" width="14.19921875" style="3" bestFit="1" customWidth="1"/>
    <col min="11" max="11" width="8.53125" style="3" bestFit="1" customWidth="1"/>
    <col min="12" max="16384" width="9.06640625" style="3"/>
  </cols>
  <sheetData>
    <row r="1" spans="1:12" ht="20.65" x14ac:dyDescent="0.6">
      <c r="A1" s="2" t="s">
        <v>15</v>
      </c>
    </row>
    <row r="3" spans="1:12" ht="15" x14ac:dyDescent="0.4">
      <c r="A3" s="4" t="s">
        <v>16</v>
      </c>
      <c r="H3" s="5" t="s">
        <v>58</v>
      </c>
      <c r="I3" s="6"/>
      <c r="J3" s="6"/>
      <c r="K3" s="6"/>
      <c r="L3" s="6"/>
    </row>
    <row r="4" spans="1:12" x14ac:dyDescent="0.35">
      <c r="A4" s="3" t="s">
        <v>10</v>
      </c>
      <c r="B4" s="3" t="str">
        <f>Data!B8</f>
        <v>Hungary</v>
      </c>
      <c r="H4" s="6" t="s">
        <v>56</v>
      </c>
      <c r="I4" s="6" t="s">
        <v>50</v>
      </c>
      <c r="J4" s="6"/>
      <c r="K4" s="6"/>
      <c r="L4" s="6"/>
    </row>
    <row r="5" spans="1:12" x14ac:dyDescent="0.35">
      <c r="A5" s="3" t="s">
        <v>17</v>
      </c>
      <c r="B5" s="3">
        <f>Data!B9</f>
        <v>70</v>
      </c>
      <c r="H5" s="6" t="s">
        <v>59</v>
      </c>
      <c r="I5" s="6">
        <f>F32-F34</f>
        <v>7.2399999999997817</v>
      </c>
      <c r="J5" s="6"/>
      <c r="K5" s="6"/>
      <c r="L5" s="6"/>
    </row>
    <row r="6" spans="1:12" x14ac:dyDescent="0.35">
      <c r="A6" s="3" t="s">
        <v>18</v>
      </c>
      <c r="B6" s="3">
        <f>Data!B10</f>
        <v>82.5</v>
      </c>
      <c r="H6" s="6" t="s">
        <v>60</v>
      </c>
      <c r="I6" s="6">
        <v>34</v>
      </c>
      <c r="J6" s="6"/>
      <c r="K6" s="6"/>
      <c r="L6" s="6"/>
    </row>
    <row r="7" spans="1:12" x14ac:dyDescent="0.35">
      <c r="A7" s="3" t="s">
        <v>19</v>
      </c>
      <c r="B7" s="3">
        <f>Data!B11</f>
        <v>22</v>
      </c>
      <c r="H7" s="6"/>
      <c r="I7" s="6"/>
      <c r="J7" s="6"/>
      <c r="K7" s="6"/>
      <c r="L7" s="6"/>
    </row>
    <row r="9" spans="1:12" ht="15" x14ac:dyDescent="0.4">
      <c r="A9" s="4" t="s">
        <v>20</v>
      </c>
    </row>
    <row r="10" spans="1:12" x14ac:dyDescent="0.35">
      <c r="A10" s="3" t="s">
        <v>21</v>
      </c>
      <c r="B10" s="12" t="s">
        <v>6</v>
      </c>
    </row>
    <row r="11" spans="1:12" x14ac:dyDescent="0.35">
      <c r="A11" s="3" t="s">
        <v>22</v>
      </c>
      <c r="B11" s="12" t="s">
        <v>7</v>
      </c>
    </row>
    <row r="12" spans="1:12" x14ac:dyDescent="0.35">
      <c r="A12" s="3" t="s">
        <v>23</v>
      </c>
      <c r="B12" s="12" t="s">
        <v>6</v>
      </c>
    </row>
    <row r="13" spans="1:12" x14ac:dyDescent="0.35">
      <c r="A13" s="3" t="s">
        <v>24</v>
      </c>
      <c r="B13" s="12">
        <v>18</v>
      </c>
    </row>
    <row r="14" spans="1:12" x14ac:dyDescent="0.35">
      <c r="A14" s="3" t="s">
        <v>25</v>
      </c>
      <c r="B14" s="12">
        <v>42</v>
      </c>
    </row>
    <row r="16" spans="1:12" ht="15" x14ac:dyDescent="0.4">
      <c r="A16" s="4" t="s">
        <v>26</v>
      </c>
    </row>
    <row r="17" spans="1:11" ht="13.9" x14ac:dyDescent="0.4">
      <c r="B17" s="7" t="s">
        <v>27</v>
      </c>
      <c r="C17" s="7" t="s">
        <v>28</v>
      </c>
      <c r="D17" s="7" t="s">
        <v>29</v>
      </c>
      <c r="E17" s="7" t="s">
        <v>30</v>
      </c>
    </row>
    <row r="18" spans="1:11" x14ac:dyDescent="0.35">
      <c r="A18" s="3" t="s">
        <v>31</v>
      </c>
      <c r="B18" s="3" t="str">
        <f>B10</f>
        <v>MEDIUM</v>
      </c>
      <c r="C18" s="3" t="str">
        <f>B11</f>
        <v>HARD</v>
      </c>
      <c r="D18" s="3" t="str">
        <f>B12</f>
        <v>MEDIUM</v>
      </c>
    </row>
    <row r="19" spans="1:11" x14ac:dyDescent="0.35">
      <c r="A19" s="3" t="s">
        <v>32</v>
      </c>
      <c r="B19" s="3">
        <v>1</v>
      </c>
      <c r="C19" s="3">
        <f>B13+1</f>
        <v>19</v>
      </c>
      <c r="D19" s="3">
        <f>B14+1</f>
        <v>43</v>
      </c>
    </row>
    <row r="20" spans="1:11" x14ac:dyDescent="0.35">
      <c r="A20" s="3" t="s">
        <v>33</v>
      </c>
      <c r="B20" s="3">
        <f>B13</f>
        <v>18</v>
      </c>
      <c r="C20" s="3">
        <f>B14</f>
        <v>42</v>
      </c>
      <c r="D20" s="3">
        <f>B5</f>
        <v>70</v>
      </c>
    </row>
    <row r="21" spans="1:11" x14ac:dyDescent="0.35">
      <c r="A21" s="8" t="s">
        <v>34</v>
      </c>
      <c r="B21" s="3">
        <f>B20-B19+1</f>
        <v>18</v>
      </c>
      <c r="C21" s="3">
        <f>C20-C19+1</f>
        <v>24</v>
      </c>
      <c r="D21" s="3">
        <f>D20-D19+1</f>
        <v>28</v>
      </c>
      <c r="E21" s="3">
        <f>B21+C21+D21</f>
        <v>70</v>
      </c>
    </row>
    <row r="22" spans="1:11" x14ac:dyDescent="0.35">
      <c r="A22" s="8" t="s">
        <v>35</v>
      </c>
      <c r="B22" s="3">
        <f>VLOOKUP(B18,Data!$A$2:$E$4,2,FALSE)</f>
        <v>0</v>
      </c>
      <c r="C22" s="3">
        <f>VLOOKUP(C18,Data!$A$2:$E$4,2,FALSE)</f>
        <v>0.4</v>
      </c>
      <c r="D22" s="3">
        <f>VLOOKUP(D18,Data!$A$2:$E$4,2,FALSE)</f>
        <v>0</v>
      </c>
    </row>
    <row r="23" spans="1:11" x14ac:dyDescent="0.35">
      <c r="A23" s="3" t="s">
        <v>36</v>
      </c>
      <c r="B23" s="3">
        <f>VLOOKUP(B18,Data!$A$2:$E$4,3,FALSE)</f>
        <v>0.04</v>
      </c>
      <c r="C23" s="3">
        <f>VLOOKUP(C18,Data!$A$2:$E$4,3,FALSE)</f>
        <v>2.5000000000000001E-2</v>
      </c>
      <c r="D23" s="3">
        <f>VLOOKUP(D18,Data!$A$2:$E$4,3,FALSE)</f>
        <v>0.04</v>
      </c>
    </row>
    <row r="24" spans="1:11" x14ac:dyDescent="0.35">
      <c r="A24" s="3" t="s">
        <v>37</v>
      </c>
      <c r="B24" s="3">
        <f>$B$6+B22+(B23*B21/2)</f>
        <v>82.86</v>
      </c>
      <c r="C24" s="3">
        <f>$B$6+C22+(C23*C21/2)</f>
        <v>83.2</v>
      </c>
      <c r="D24" s="3">
        <f>$B$6+D22+(D23*D21/2)</f>
        <v>83.06</v>
      </c>
    </row>
    <row r="25" spans="1:11" x14ac:dyDescent="0.35">
      <c r="A25" s="3" t="s">
        <v>38</v>
      </c>
      <c r="B25" s="3">
        <f>B24*B21</f>
        <v>1491.48</v>
      </c>
      <c r="C25" s="3">
        <f>C24*C21</f>
        <v>1996.8000000000002</v>
      </c>
      <c r="D25" s="3">
        <f>D24*D21</f>
        <v>2325.6800000000003</v>
      </c>
      <c r="E25" s="3">
        <f>B25+C25+D25</f>
        <v>5813.9600000000009</v>
      </c>
    </row>
    <row r="27" spans="1:11" ht="17.649999999999999" x14ac:dyDescent="0.5">
      <c r="A27" s="3" t="s">
        <v>39</v>
      </c>
      <c r="B27" s="9">
        <f>E25+(2*$B$7)</f>
        <v>5857.9600000000009</v>
      </c>
    </row>
    <row r="29" spans="1:11" ht="15" x14ac:dyDescent="0.4">
      <c r="A29" s="4" t="s">
        <v>40</v>
      </c>
      <c r="B29" s="10"/>
      <c r="C29" s="10"/>
    </row>
    <row r="31" spans="1:11" ht="13.9" x14ac:dyDescent="0.4">
      <c r="A31" s="5" t="s">
        <v>41</v>
      </c>
      <c r="B31" s="5" t="s">
        <v>42</v>
      </c>
      <c r="C31" s="5" t="s">
        <v>28</v>
      </c>
      <c r="D31" s="5" t="s">
        <v>29</v>
      </c>
      <c r="E31" s="5" t="s">
        <v>43</v>
      </c>
      <c r="F31" s="5" t="s">
        <v>44</v>
      </c>
      <c r="G31" s="5" t="s">
        <v>45</v>
      </c>
      <c r="I31" s="11" t="s">
        <v>41</v>
      </c>
      <c r="J31" s="11" t="s">
        <v>57</v>
      </c>
      <c r="K31" s="11"/>
    </row>
    <row r="32" spans="1:11" x14ac:dyDescent="0.35">
      <c r="A32" s="6" t="s">
        <v>46</v>
      </c>
      <c r="B32" s="6" t="s">
        <v>6</v>
      </c>
      <c r="C32" s="6" t="s">
        <v>7</v>
      </c>
      <c r="D32" s="6" t="s">
        <v>6</v>
      </c>
      <c r="E32" s="6" t="s">
        <v>47</v>
      </c>
      <c r="F32" s="6">
        <f>(18*(Data!$B$10+VLOOKUP(B32,Data!$A$2:$E$4,2,FALSE)+(VLOOKUP(B32,Data!$A$2:$E$4,3,FALSE)*18/2)))+(24*(Data!$B$10+VLOOKUP(C32,Data!$A$2:$E$4,2,FALSE)+(VLOOKUP(C32,Data!$A$2:$E$4,3,FALSE)*24/2)))+(28*(Data!$B$10+VLOOKUP(D32,Data!$A$2:$E$4,2,FALSE)+(VLOOKUP(D32,Data!$A$2:$E$4,3,FALSE)*28/2)))+(2*Data!$B$11)</f>
        <v>5857.9600000000009</v>
      </c>
      <c r="G32" s="6">
        <f>F32-MIN($F$32:$F$34)</f>
        <v>7.2399999999997817</v>
      </c>
      <c r="I32" s="3" t="s">
        <v>46</v>
      </c>
      <c r="J32" s="3">
        <f>F32</f>
        <v>5857.9600000000009</v>
      </c>
    </row>
    <row r="33" spans="1:11" x14ac:dyDescent="0.35">
      <c r="A33" s="6" t="s">
        <v>48</v>
      </c>
      <c r="B33" s="6" t="s">
        <v>6</v>
      </c>
      <c r="C33" s="6" t="s">
        <v>7</v>
      </c>
      <c r="D33" s="6" t="s">
        <v>6</v>
      </c>
      <c r="E33" s="6" t="s">
        <v>49</v>
      </c>
      <c r="F33" s="6">
        <f>(25*(Data!$B$10+VLOOKUP(B33,Data!$A$2:$E$4,2,FALSE)+(VLOOKUP(B33,Data!$A$2:$E$4,3,FALSE)*25/2)))+(22*(Data!$B$10+VLOOKUP(C33,Data!$A$2:$E$4,2,FALSE)+(VLOOKUP(C33,Data!$A$2:$E$4,3,FALSE)*22/2)))+(23*(Data!$B$10+VLOOKUP(D33,Data!$A$2:$E$4,2,FALSE)+(VLOOKUP(D33,Data!$A$2:$E$4,3,FALSE)*23/2)))+(2*Data!$B$11)</f>
        <v>5856.93</v>
      </c>
      <c r="G33" s="6">
        <f>F33-MIN($F$32:$F$34)</f>
        <v>6.2099999999991269</v>
      </c>
      <c r="I33" s="3" t="s">
        <v>48</v>
      </c>
      <c r="J33" s="3">
        <f>F33</f>
        <v>5856.93</v>
      </c>
    </row>
    <row r="34" spans="1:11" x14ac:dyDescent="0.35">
      <c r="A34" s="6" t="s">
        <v>50</v>
      </c>
      <c r="B34" s="6" t="s">
        <v>6</v>
      </c>
      <c r="C34" s="6" t="s">
        <v>7</v>
      </c>
      <c r="D34" s="6" t="s">
        <v>51</v>
      </c>
      <c r="E34" s="6">
        <v>34</v>
      </c>
      <c r="F34" s="6">
        <f>(34*(Data!$B$10+VLOOKUP(B34,Data!$A$2:$E$4,2,FALSE)+(VLOOKUP(B34,Data!$A$2:$E$4,3,FALSE)*34/2)))+(36*(Data!$B$10+VLOOKUP(C34,Data!$A$2:$E$4,2,FALSE)+(VLOOKUP(C34,Data!$A$2:$E$4,3,FALSE)*36/2)))+(1*Data!$B$11)</f>
        <v>5850.7200000000012</v>
      </c>
      <c r="G34" s="6">
        <f>F34-MIN($F$32:$F$34)</f>
        <v>0</v>
      </c>
      <c r="I34" s="3" t="s">
        <v>50</v>
      </c>
      <c r="J34" s="3">
        <f>F34</f>
        <v>5850.7200000000012</v>
      </c>
    </row>
    <row r="37" spans="1:11" ht="15" x14ac:dyDescent="0.4">
      <c r="A37" s="4" t="s">
        <v>52</v>
      </c>
    </row>
    <row r="38" spans="1:11" ht="13.9" x14ac:dyDescent="0.4">
      <c r="A38" s="5" t="s">
        <v>53</v>
      </c>
      <c r="B38" s="5" t="s">
        <v>54</v>
      </c>
      <c r="C38" s="5" t="s">
        <v>48</v>
      </c>
      <c r="D38" s="5" t="s">
        <v>55</v>
      </c>
      <c r="E38" s="5" t="s">
        <v>56</v>
      </c>
    </row>
    <row r="39" spans="1:11" x14ac:dyDescent="0.35">
      <c r="A39" s="6">
        <v>20</v>
      </c>
      <c r="B39" s="6">
        <f>(18*(Data!$B$10+0+(0.04*18/2)))+(24*(Data!$B$10+0.4+(0.025*24/2)))+(28*(Data!$B$10+0+(0.04*28/2)))+(2*A39)</f>
        <v>5853.9600000000009</v>
      </c>
      <c r="C39" s="6">
        <f>(25*(Data!$B$10+0+(0.04*25/2)))+(22*(Data!$B$10+0.4+(0.025*22/2)))+(23*(Data!$B$10+0+(0.04*23/2)))+(2*A39)</f>
        <v>5852.93</v>
      </c>
      <c r="D39" s="6">
        <f>(34*(Data!$B$10+0+(0.04*34/2)))+(36*(Data!$B$10+0.4+(0.025*36/2)))+(1*A39)</f>
        <v>5848.7200000000012</v>
      </c>
      <c r="E39" s="6" t="str">
        <f>IF(AND(B39&lt;=C39,B39&lt;=D39),"Piastri",IF(AND(C39&lt;=B39,C39&lt;=D39),"Optimal 2-Stop","1-Stop"))</f>
        <v>1-Stop</v>
      </c>
    </row>
    <row r="40" spans="1:11" x14ac:dyDescent="0.35">
      <c r="A40" s="6">
        <v>22</v>
      </c>
      <c r="B40" s="6">
        <f>(18*(Data!$B$10+0+(0.04*18/2)))+(24*(Data!$B$10+0.4+(0.025*24/2)))+(28*(Data!$B$10+0+(0.04*28/2)))+(2*A40)</f>
        <v>5857.9600000000009</v>
      </c>
      <c r="C40" s="6">
        <f>(25*(Data!$B$10+0+(0.04*25/2)))+(22*(Data!$B$10+0.4+(0.025*22/2)))+(23*(Data!$B$10+0+(0.04*23/2)))+(2*A40)</f>
        <v>5856.93</v>
      </c>
      <c r="D40" s="6">
        <f>(34*(Data!$B$10+0+(0.04*34/2)))+(36*(Data!$B$10+0.4+(0.025*36/2)))+(1*A40)</f>
        <v>5850.7200000000012</v>
      </c>
      <c r="E40" s="6" t="str">
        <f t="shared" ref="E40:E42" si="0">IF(AND(B40&lt;=C40,B40&lt;=D40),"Piastri",IF(AND(C40&lt;=B40,C40&lt;=D40),"Optimal 2-Stop","1-Stop"))</f>
        <v>1-Stop</v>
      </c>
    </row>
    <row r="41" spans="1:11" x14ac:dyDescent="0.35">
      <c r="A41" s="6">
        <v>24</v>
      </c>
      <c r="B41" s="6">
        <f>(18*(Data!$B$10+0+(0.04*18/2)))+(24*(Data!$B$10+0.4+(0.025*24/2)))+(28*(Data!$B$10+0+(0.04*28/2)))+(2*A41)</f>
        <v>5861.9600000000009</v>
      </c>
      <c r="C41" s="6">
        <f>(25*(Data!$B$10+0+(0.04*25/2)))+(22*(Data!$B$10+0.4+(0.025*22/2)))+(23*(Data!$B$10+0+(0.04*23/2)))+(2*A41)</f>
        <v>5860.93</v>
      </c>
      <c r="D41" s="6">
        <f>(34*(Data!$B$10+0+(0.04*34/2)))+(36*(Data!$B$10+0.4+(0.025*36/2)))+(1*A41)</f>
        <v>5852.7200000000012</v>
      </c>
      <c r="E41" s="6" t="str">
        <f t="shared" si="0"/>
        <v>1-Stop</v>
      </c>
    </row>
    <row r="42" spans="1:11" x14ac:dyDescent="0.35">
      <c r="A42" s="6">
        <v>26</v>
      </c>
      <c r="B42" s="6">
        <f>(18*(Data!$B$10+0+(0.04*18/2)))+(24*(Data!$B$10+0.4+(0.025*24/2)))+(28*(Data!$B$10+0+(0.04*28/2)))+(2*A42)</f>
        <v>5865.9600000000009</v>
      </c>
      <c r="C42" s="6">
        <f>(25*(Data!$B$10+0+(0.04*25/2)))+(22*(Data!$B$10+0.4+(0.025*22/2)))+(23*(Data!$B$10+0+(0.04*23/2)))+(2*A42)</f>
        <v>5864.93</v>
      </c>
      <c r="D42" s="6">
        <f>(34*(Data!$B$10+0+(0.04*34/2)))+(36*(Data!$B$10+0.4+(0.025*36/2)))+(1*A42)</f>
        <v>5854.7200000000012</v>
      </c>
      <c r="E42" s="6" t="str">
        <f t="shared" si="0"/>
        <v>1-Stop</v>
      </c>
    </row>
    <row r="45" spans="1:11" x14ac:dyDescent="0.35">
      <c r="H45" s="3" t="s">
        <v>61</v>
      </c>
      <c r="I45" s="3" t="s">
        <v>54</v>
      </c>
      <c r="J45" s="3" t="s">
        <v>48</v>
      </c>
      <c r="K45" s="3" t="s">
        <v>55</v>
      </c>
    </row>
    <row r="46" spans="1:11" x14ac:dyDescent="0.35">
      <c r="H46" s="3">
        <v>20</v>
      </c>
      <c r="I46" s="3">
        <v>5853.96</v>
      </c>
      <c r="J46" s="3">
        <v>5852.93</v>
      </c>
      <c r="K46" s="3">
        <v>5848.72</v>
      </c>
    </row>
    <row r="47" spans="1:11" x14ac:dyDescent="0.35">
      <c r="H47" s="3">
        <v>22</v>
      </c>
      <c r="I47" s="3">
        <v>5857.96</v>
      </c>
      <c r="J47" s="3">
        <v>5856.93</v>
      </c>
      <c r="K47" s="3">
        <v>5850.72</v>
      </c>
    </row>
    <row r="48" spans="1:11" x14ac:dyDescent="0.35">
      <c r="H48" s="3">
        <v>24</v>
      </c>
      <c r="I48" s="3">
        <v>5861.96</v>
      </c>
      <c r="J48" s="3">
        <v>5860.93</v>
      </c>
      <c r="K48" s="3">
        <v>5852.72</v>
      </c>
    </row>
    <row r="49" spans="8:11" x14ac:dyDescent="0.35">
      <c r="H49" s="3">
        <v>26</v>
      </c>
      <c r="I49" s="3">
        <v>5865.96</v>
      </c>
      <c r="J49" s="3">
        <v>5864.93</v>
      </c>
      <c r="K49" s="3">
        <v>5854.72</v>
      </c>
    </row>
  </sheetData>
  <conditionalFormatting sqref="A32:G34 A37:A38">
    <cfRule type="expression" dxfId="0" priority="1">
      <formula>$F32=MIN($F$32:$F$34)</formula>
    </cfRule>
    <cfRule type="expression" priority="2">
      <formula>$F32=MIN($F$32:$F$34)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culateStrategy">
                <anchor moveWithCells="1" sizeWithCells="1">
                  <from>
                    <xdr:col>2</xdr:col>
                    <xdr:colOff>700088</xdr:colOff>
                    <xdr:row>1</xdr:row>
                    <xdr:rowOff>4763</xdr:rowOff>
                  </from>
                  <to>
                    <xdr:col>4</xdr:col>
                    <xdr:colOff>76200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Inputs">
                <anchor moveWithCells="1" sizeWithCells="1">
                  <from>
                    <xdr:col>2</xdr:col>
                    <xdr:colOff>771525</xdr:colOff>
                    <xdr:row>4</xdr:row>
                    <xdr:rowOff>23813</xdr:rowOff>
                  </from>
                  <to>
                    <xdr:col>4</xdr:col>
                    <xdr:colOff>100013</xdr:colOff>
                    <xdr:row>5</xdr:row>
                    <xdr:rowOff>166688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76197C-A7FE-4E6F-823F-939EFD3EC29C}">
          <x14:formula1>
            <xm:f>Data!$A$2:$A$4</xm:f>
          </x14:formula1>
          <xm:sqref>B10:B12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64C2D-9ACD-4CA0-A2E0-84CA18879730}">
  <sheetPr codeName="Sheet3"/>
  <dimension ref="A1:B52"/>
  <sheetViews>
    <sheetView workbookViewId="0">
      <selection activeCell="D16" sqref="D16"/>
    </sheetView>
  </sheetViews>
  <sheetFormatPr defaultRowHeight="14.25" x14ac:dyDescent="0.45"/>
  <cols>
    <col min="1" max="1" width="62.3984375" bestFit="1" customWidth="1"/>
    <col min="2" max="2" width="64.06640625" bestFit="1" customWidth="1"/>
  </cols>
  <sheetData>
    <row r="1" spans="1:2" ht="21" x14ac:dyDescent="0.65">
      <c r="A1" s="13" t="s">
        <v>62</v>
      </c>
    </row>
    <row r="3" spans="1:2" ht="15.75" x14ac:dyDescent="0.5">
      <c r="A3" s="15" t="s">
        <v>63</v>
      </c>
    </row>
    <row r="4" spans="1:2" x14ac:dyDescent="0.45">
      <c r="A4" t="s">
        <v>64</v>
      </c>
      <c r="B4" t="s">
        <v>65</v>
      </c>
    </row>
    <row r="5" spans="1:2" x14ac:dyDescent="0.45">
      <c r="A5" t="s">
        <v>66</v>
      </c>
      <c r="B5" t="s">
        <v>67</v>
      </c>
    </row>
    <row r="6" spans="1:2" x14ac:dyDescent="0.45">
      <c r="A6" t="s">
        <v>68</v>
      </c>
      <c r="B6" s="14">
        <v>46023</v>
      </c>
    </row>
    <row r="7" spans="1:2" x14ac:dyDescent="0.45">
      <c r="A7" t="s">
        <v>69</v>
      </c>
      <c r="B7">
        <v>1</v>
      </c>
    </row>
    <row r="10" spans="1:2" ht="15.75" x14ac:dyDescent="0.5">
      <c r="A10" s="15" t="s">
        <v>70</v>
      </c>
    </row>
    <row r="11" spans="1:2" x14ac:dyDescent="0.45">
      <c r="A11">
        <v>1</v>
      </c>
      <c r="B11" t="s">
        <v>71</v>
      </c>
    </row>
    <row r="12" spans="1:2" x14ac:dyDescent="0.45">
      <c r="A12">
        <v>2</v>
      </c>
      <c r="B12" t="s">
        <v>72</v>
      </c>
    </row>
    <row r="13" spans="1:2" x14ac:dyDescent="0.45">
      <c r="A13">
        <v>3</v>
      </c>
      <c r="B13" t="s">
        <v>73</v>
      </c>
    </row>
    <row r="14" spans="1:2" x14ac:dyDescent="0.45">
      <c r="A14">
        <v>4</v>
      </c>
      <c r="B14" t="s">
        <v>104</v>
      </c>
    </row>
    <row r="15" spans="1:2" x14ac:dyDescent="0.45">
      <c r="A15">
        <v>5</v>
      </c>
      <c r="B15" t="s">
        <v>74</v>
      </c>
    </row>
    <row r="16" spans="1:2" x14ac:dyDescent="0.45">
      <c r="A16">
        <v>6</v>
      </c>
      <c r="B16" t="s">
        <v>75</v>
      </c>
    </row>
    <row r="20" spans="1:2" ht="15.75" x14ac:dyDescent="0.5">
      <c r="A20" s="15" t="s">
        <v>76</v>
      </c>
    </row>
    <row r="21" spans="1:2" x14ac:dyDescent="0.45">
      <c r="A21">
        <v>1</v>
      </c>
      <c r="B21" t="s">
        <v>77</v>
      </c>
    </row>
    <row r="22" spans="1:2" x14ac:dyDescent="0.45">
      <c r="A22">
        <v>2</v>
      </c>
      <c r="B22" t="s">
        <v>78</v>
      </c>
    </row>
    <row r="23" spans="1:2" x14ac:dyDescent="0.45">
      <c r="A23">
        <v>3</v>
      </c>
      <c r="B23" t="s">
        <v>79</v>
      </c>
    </row>
    <row r="24" spans="1:2" x14ac:dyDescent="0.45">
      <c r="A24">
        <v>4</v>
      </c>
      <c r="B24" t="s">
        <v>80</v>
      </c>
    </row>
    <row r="25" spans="1:2" x14ac:dyDescent="0.45">
      <c r="A25">
        <v>5</v>
      </c>
      <c r="B25" t="s">
        <v>81</v>
      </c>
    </row>
    <row r="26" spans="1:2" x14ac:dyDescent="0.45">
      <c r="A26">
        <v>6</v>
      </c>
      <c r="B26" t="s">
        <v>82</v>
      </c>
    </row>
    <row r="27" spans="1:2" x14ac:dyDescent="0.45">
      <c r="A27">
        <v>7</v>
      </c>
      <c r="B27" t="s">
        <v>83</v>
      </c>
    </row>
    <row r="32" spans="1:2" ht="15.75" x14ac:dyDescent="0.5">
      <c r="A32" s="15" t="s">
        <v>84</v>
      </c>
    </row>
    <row r="33" spans="1:2" x14ac:dyDescent="0.45">
      <c r="A33" t="s">
        <v>85</v>
      </c>
      <c r="B33" t="s">
        <v>86</v>
      </c>
    </row>
    <row r="34" spans="1:2" x14ac:dyDescent="0.45">
      <c r="A34" t="s">
        <v>87</v>
      </c>
      <c r="B34" t="s">
        <v>88</v>
      </c>
    </row>
    <row r="35" spans="1:2" x14ac:dyDescent="0.45">
      <c r="A35" t="s">
        <v>89</v>
      </c>
      <c r="B35" t="s">
        <v>90</v>
      </c>
    </row>
    <row r="36" spans="1:2" x14ac:dyDescent="0.45">
      <c r="A36" t="s">
        <v>91</v>
      </c>
      <c r="B36" t="s">
        <v>92</v>
      </c>
    </row>
    <row r="42" spans="1:2" ht="15.75" x14ac:dyDescent="0.5">
      <c r="A42" s="15" t="s">
        <v>93</v>
      </c>
    </row>
    <row r="43" spans="1:2" x14ac:dyDescent="0.45">
      <c r="A43">
        <v>1</v>
      </c>
      <c r="B43" t="s">
        <v>94</v>
      </c>
    </row>
    <row r="44" spans="1:2" x14ac:dyDescent="0.45">
      <c r="A44">
        <v>2</v>
      </c>
      <c r="B44" t="s">
        <v>95</v>
      </c>
    </row>
    <row r="45" spans="1:2" x14ac:dyDescent="0.45">
      <c r="A45">
        <v>3</v>
      </c>
      <c r="B45" t="s">
        <v>96</v>
      </c>
    </row>
    <row r="46" spans="1:2" x14ac:dyDescent="0.45">
      <c r="A46">
        <v>4</v>
      </c>
      <c r="B46" t="s">
        <v>97</v>
      </c>
    </row>
    <row r="47" spans="1:2" x14ac:dyDescent="0.45">
      <c r="A47">
        <v>5</v>
      </c>
      <c r="B47" t="s">
        <v>98</v>
      </c>
    </row>
    <row r="50" spans="1:2" ht="15.75" x14ac:dyDescent="0.5">
      <c r="A50" s="15" t="s">
        <v>99</v>
      </c>
    </row>
    <row r="51" spans="1:2" x14ac:dyDescent="0.45">
      <c r="A51" t="s">
        <v>100</v>
      </c>
      <c r="B51" s="16" t="s">
        <v>101</v>
      </c>
    </row>
    <row r="52" spans="1:2" x14ac:dyDescent="0.45">
      <c r="A52" t="s">
        <v>102</v>
      </c>
      <c r="B52" t="s">
        <v>103</v>
      </c>
    </row>
  </sheetData>
  <hyperlinks>
    <hyperlink ref="B51" r:id="rId1" xr:uid="{A5DB899E-EA1E-4C4E-A243-C303C1B53F5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Calculator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Gyan</dc:creator>
  <cp:lastModifiedBy>Emmanuel Gyan</cp:lastModifiedBy>
  <dcterms:created xsi:type="dcterms:W3CDTF">2026-01-17T20:00:50Z</dcterms:created>
  <dcterms:modified xsi:type="dcterms:W3CDTF">2026-01-22T05:35:05Z</dcterms:modified>
</cp:coreProperties>
</file>